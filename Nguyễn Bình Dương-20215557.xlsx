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d43\OneDrive\Desktop\datn\"/>
    </mc:Choice>
  </mc:AlternateContent>
  <xr:revisionPtr revIDLastSave="0" documentId="13_ncr:1_{703CEDB0-525F-4536-866E-82C75DBF5520}" xr6:coauthVersionLast="47" xr6:coauthVersionMax="47" xr10:uidLastSave="{00000000-0000-0000-0000-000000000000}"/>
  <bookViews>
    <workbookView xWindow="-110" yWindow="-110" windowWidth="19420" windowHeight="10300" xr2:uid="{D65E948B-C4B4-4D45-8DAF-70E964FBDDC7}"/>
  </bookViews>
  <sheets>
    <sheet name="Trang_tính1" sheetId="1" r:id="rId1"/>
  </sheets>
  <externalReferences>
    <externalReference r:id="rId2"/>
  </externalReferences>
  <definedNames>
    <definedName name="Danh_sách_phân_ban">'[1]DS phân ban'!$B$5:$B$24</definedName>
    <definedName name="Tuần">'[1]DS phân ban'!$E$5:$E$24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  <c r="H79" i="1"/>
</calcChain>
</file>

<file path=xl/sharedStrings.xml><?xml version="1.0" encoding="utf-8"?>
<sst xmlns="http://schemas.openxmlformats.org/spreadsheetml/2006/main" count="96" uniqueCount="67">
  <si>
    <t>ĐẠI HỌC BÁCH KHOA HÀ NỘI</t>
  </si>
  <si>
    <t>TRƯỜNG CÔNG NGHỆ THÔNG TIN VÀ TRUYỀN THÔNG</t>
  </si>
  <si>
    <t>PHIẾU GIAO NHIỆM VỤ ĐỒ ÁN TỐT NGHIỆP HỆ CỬ NHÂN</t>
  </si>
  <si>
    <t>KỲ</t>
  </si>
  <si>
    <t>Thông tin về sinh viên</t>
  </si>
  <si>
    <t>Họ và tên sinh viên:</t>
  </si>
  <si>
    <t>Nguyễn Bình Dương</t>
  </si>
  <si>
    <t>MSSV:</t>
  </si>
  <si>
    <t>Điện thoại liên lạc:</t>
  </si>
  <si>
    <t>Lớp:</t>
  </si>
  <si>
    <t>IT2-01</t>
  </si>
  <si>
    <t>Email:</t>
  </si>
  <si>
    <t>Duong.NB215557@sis.hust.edu.vn</t>
  </si>
  <si>
    <t>Mã lớp:</t>
  </si>
  <si>
    <t>Thông tin giáo viên hướng dẫn</t>
  </si>
  <si>
    <t>Họ và tên GVHD:</t>
  </si>
  <si>
    <t>Hoàng Văn Hiệp</t>
  </si>
  <si>
    <t>Đồ án được thực hiện tại:</t>
  </si>
  <si>
    <t xml:space="preserve">Thời gian làm ĐATN: </t>
  </si>
  <si>
    <t>Từ ngày</t>
  </si>
  <si>
    <t>đến ngày</t>
  </si>
  <si>
    <t>1. Tên đề tài:</t>
  </si>
  <si>
    <t>Phát triển website thương mại điện tử bán quần áo có tích hợp hệ thống thử đồ ảo.</t>
  </si>
  <si>
    <t>2. Lĩnh vực đề tài:</t>
  </si>
  <si>
    <t>-</t>
  </si>
  <si>
    <t>Lựa chọn 1:</t>
  </si>
  <si>
    <t>Thương mại điện tử (eCommerce) và hậu cần (Logistic)</t>
  </si>
  <si>
    <t>Lựa chọn 2:</t>
  </si>
  <si>
    <t>Trí tuệ nhân tạo ứng dụng</t>
  </si>
  <si>
    <t>Lựa chọn 3:</t>
  </si>
  <si>
    <t>Tối ưu</t>
  </si>
  <si>
    <t>Nếu lĩnh vực không nằm trong danh sách có sẵn, giáo viên hướng dẫn có thể đề xuất:</t>
  </si>
  <si>
    <t>3. Mục tiêu của ĐATN:</t>
  </si>
  <si>
    <t>3.1. Kiến thức sinh viên thu thập được:</t>
  </si>
  <si>
    <t xml:space="preserve">- Hiểu rõ quy trình hoạt động của một hệ thống bán hàng trực tuyến (quản lý sản phẩm, đơn hàng, giỏ hàng, thanh toán).
- Nắm được nguyên lý bảo mật, xác thực và phân quyền người dùng trong hệ thống web.
- Biết cách thiết kế và triển khai kiến trúc web thương mại điện tử gồm frontend – backend – database.
- Vận dụng các công nghệ web hiện đại (Typescript, PHP/Laravel, MongoDB, REST API).
- Nắm được quy trình nhận diện cơ thể, bóc tách vùng quần áo, và ghép trang phục lên ảnh người thật.
- Làm quen với các mô hình Virtual Try-On (VTON) như TryOnGAN, ClothFlow, VITON-HD.
- Rèn luyện kỹ năng tích hợp mô hình AI vào ứng dụng web thông qua API hoặc dịch vụ AI.
- Biết cách xử lý và tiền xử lý dữ liệu hình ảnh (cắt, chuẩn hóa, định dạng dữ liệu).
- Thành thạo thiết kế giao diện web trực quan (UI/UX Design) giúp người dùng tương tác dễ dàng với hệ thống thử đồ.
</t>
  </si>
  <si>
    <t>3.2. Công nghệ sinh viên thu thập được:</t>
  </si>
  <si>
    <t>- Backend: PHP / Laravel – Xây dựng API, xử lý đăng nhập, phân quyền, quản lý cơ sở dữ liệu và giao tiếp với hệ thống AI.
- Frontend: TypeScript / ReactJS – Phát triển giao diện web động, kết nối API, hiển thị kết quả thử đồ ảo và trải nghiệm mua sắm trực quan.
- AI &amp; Xử lý ảnh: Ứng dụng Deep Learning (GAN, Virtual Try-On) kết hợp OpenCV, PyTorch để nhận diện cơ thể và ghép quần áo ảo.
- Cơ sở dữ liệu: PostgreSQL – Lưu trữ thông tin người dùng, sản phẩm, đơn hàng và lịch sử mua sắm.</t>
  </si>
  <si>
    <t>3.3. Kỹ năng sinh viên phát triển được:</t>
  </si>
  <si>
    <t>- Kỹ năng lập trình full-stack: hiểu toàn bộ quy trình phát triển ứng dụng web từ frontend đến backend và AI.
- Kỹ năng tích hợp công nghệ mới: biết cách kết hợp AI với hệ thống web hiện đại.
- Kỹ năng nghiên cứu &amp; giải quyết vấn đề: tự tìm hiểu tài liệu, phân tích yêu cầu, đề xuất giải pháp tối ưu.
- Kỹ năng trình bày &amp; báo cáo kỹ thuật: mô tả quy trình phát triển, phân tích kết quả và hướng phát triển tiếp theo.
- Kỹ năng kiểm thử (testing) và gỡ lỗi (debugging) trong môi trường web.</t>
  </si>
  <si>
    <t>3.4. Sản phẩm kỳ vọng:</t>
  </si>
  <si>
    <t xml:space="preserve">- Hệ thống web thương mại điện tử đầy đủ chức năng.
- Cho phép người dùng thử quần áo trên ảnh cá nhân/mô hình cá nhân.
- Tối ưu tốc độ xử lý hình ảnh AI, đảm bảo thời gian phản hồi nhanh và mượt mà khi người dùng thử đồ.
- Tối ưu trải nghiệm người dùng (UX): thao tác đơn giản, trực quan, có hướng dẫn chi tiết.
</t>
  </si>
  <si>
    <t xml:space="preserve">3.5. Vấn đề thực tiễn đồ án giải quyết:  </t>
  </si>
  <si>
    <t xml:space="preserve">- Cho phép người dùng thử đồ ảo trên chính hình ảnh của mình, giúp họ xem trước sự phù hợp của sản phẩm.
- Giảm rủi ro khi mua hàng, tăng trải nghiệm và sự tin cậy với website bán hàng.
- Tạo nền tảng cho xu hướng “smart shopping” – mua sắm thông minh ứng dụng công nghệ AI.
- Tăng mức độ tương tác và thời gian người dùng ở lại trang, giúp nâng cao giá trị thương hiệu.
- Cải thiện trải nghiệm người dùng: cung cấp trải nghiệm “thử đồ trực tiếp trên cơ thể” ngay trên trình duyệt web.
- Tăng hiệu quả marketing và doanh thu, nhờ trải nghiệm mua sắm sinh động, mới mẻ.
</t>
  </si>
  <si>
    <t>4. Các nội dung sẽ thực hiện và kế hoạch triển khai:</t>
  </si>
  <si>
    <t>Lưu ý: khối lượng yêu cầu đối với đồ án tốt nghiệp hệ cử nhân là 6(0-0-12-12), i.e. 12 tiết làm việc/tuần trong 17 tuần.</t>
  </si>
  <si>
    <t>Nội dung 1: Tìm hiểu tổng quan về bài toán,</t>
  </si>
  <si>
    <t>từ Tuần</t>
  </si>
  <si>
    <t>đến Tuần</t>
  </si>
  <si>
    <t>Chi tiết:</t>
  </si>
  <si>
    <t>- Khảo sát các trang web bán quần áo.
- Khảo sát các mô hình thử quần áo ảo.
- Khảo sát về nhu cầu mua hàng trực tuyến.</t>
  </si>
  <si>
    <t>Tìm hiểu hệ thống GPS và các hệ thống định vị toàn cầu trên Thế giới và các hệ thống khu vực trên thế giới</t>
  </si>
  <si>
    <t xml:space="preserve">Nội dung 2: Tìm hiểu tổng quan về công nghệ liên quan, </t>
  </si>
  <si>
    <t>- PHP/Laravel.
- Typescript/ReactJS.
- Mô hình AI thử đồ ảo (Virtual Try-On).
- PostgreSQL.</t>
  </si>
  <si>
    <t>Nội dung 3: Phân tích thiết kế,</t>
  </si>
  <si>
    <t xml:space="preserve">- Phân tích usecase và vai trò người dùng.
- Thiết kế kiến trúc Backend, Frontend.
- Thiết kế cơ sở dữ liệu.
- Phác thảo giao diện chính: đăng nhập, trang chủ, thử đồ, quản lý sản phẩm.
</t>
  </si>
  <si>
    <t>Nội dung 4: Xây dựng chương trình,</t>
  </si>
  <si>
    <t>- Xây dựng các API services.
- Xây dựng website thương mại điện tử bán quần áo.
- Xây dụng mô hình AI thử đồ ảo.</t>
  </si>
  <si>
    <t>Nội dung 5: Thử nghiệm và đánh giá,</t>
  </si>
  <si>
    <t>- Kiểm thử API services.
- Kiểm thử các chức năng cơ bản của hệ thống thương mại điện tử.
- Kiểm thử mô hình AI thử đồ ảo: chất lượng hình ảnh, độ trễ xử lý.</t>
  </si>
  <si>
    <t>5. Lời cam đoan của sinh viên đã nhận được nhiệm vụ</t>
  </si>
  <si>
    <t>Em xin cam kết sẽ hoàn thành các nhiệm vụ theo đúng kế hoạch.</t>
  </si>
  <si>
    <t xml:space="preserve">Hà Nội, ngày        tháng        năm  </t>
  </si>
  <si>
    <t>Sinh viên</t>
  </si>
  <si>
    <t>(Ký và ghi rõ họ tên)</t>
  </si>
  <si>
    <t>6. Xác nhận của giáo viên hướng dẫn về việc giao nhiệm vụ cho sinh viên</t>
  </si>
  <si>
    <t>Giảng viên hướng dẫn</t>
  </si>
  <si>
    <t>Trường Công nghệ Thông tin và Truyền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</si>
</sst>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3" fillId="3" borderId="0" xfId="0" applyFont="1" applyFill="1" applyAlignment="1" applyProtection="1">
      <alignment horizontal="center" vertical="center"/>
      <protection locked="0"/>
    </xf>
    <xf numFmtId="0" fontId="4" fillId="0" borderId="0" xfId="0" applyFont="1"/>
    <xf numFmtId="0" fontId="4" fillId="0" borderId="0" xfId="0" applyFont="1" applyAlignment="1" applyProtection="1">
      <alignment horizontal="centerContinuous" vertical="center"/>
      <protection locked="0"/>
    </xf>
    <xf numFmtId="0" fontId="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  <protection locked="0"/>
    </xf>
    <xf numFmtId="49" fontId="3" fillId="2" borderId="0" xfId="0" quotePrefix="1" applyNumberFormat="1" applyFont="1" applyFill="1" applyAlignment="1" applyProtection="1">
      <alignment horizontal="left" vertical="top" wrapText="1"/>
      <protection locked="0"/>
    </xf>
    <xf numFmtId="49" fontId="3" fillId="2" borderId="0" xfId="0" quotePrefix="1" applyNumberFormat="1" applyFont="1" applyFill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left"/>
      <protection locked="0"/>
    </xf>
    <xf numFmtId="49" fontId="3" fillId="2" borderId="0" xfId="0" quotePrefix="1" applyNumberFormat="1" applyFont="1" applyFill="1" applyAlignment="1" applyProtection="1">
      <alignment horizontal="center" vertical="center" wrapText="1"/>
      <protection locked="0"/>
    </xf>
    <xf numFmtId="49" fontId="3" fillId="2" borderId="0" xfId="0" quotePrefix="1" applyNumberFormat="1" applyFont="1" applyFill="1" applyAlignment="1" applyProtection="1">
      <alignment horizontal="center" vertical="center"/>
      <protection locked="0"/>
    </xf>
    <xf numFmtId="0" fontId="1" fillId="2" borderId="0" xfId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bd43\OneDrive\Desktop\datn\Nguy&#7877;n%20B&#236;nh%20D&#432;&#417;ng%2020215557.xlsx" TargetMode="External"/><Relationship Id="rId1" Type="http://schemas.openxmlformats.org/officeDocument/2006/relationships/externalLinkPath" Target="Nguy&#7877;n%20B&#236;nh%20D&#432;&#417;ng%202021555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ử nhân"/>
      <sheetName val="DS phân ban"/>
    </sheetNames>
    <sheetDataSet>
      <sheetData sheetId="0" refreshError="1"/>
      <sheetData sheetId="1">
        <row r="5">
          <cell r="B5" t="str">
            <v>Xử lý ngôn ngữ tự nhiên</v>
          </cell>
          <cell r="E5">
            <v>1</v>
          </cell>
        </row>
        <row r="6">
          <cell r="B6" t="str">
            <v>An toàn không gian số</v>
          </cell>
          <cell r="E6">
            <v>2</v>
          </cell>
        </row>
        <row r="7">
          <cell r="B7" t="str">
            <v>Multimedia và Game</v>
          </cell>
          <cell r="E7">
            <v>3</v>
          </cell>
        </row>
        <row r="8">
          <cell r="B8" t="str">
            <v>Blockchain và ứng dụng</v>
          </cell>
          <cell r="E8">
            <v>4</v>
          </cell>
        </row>
        <row r="9">
          <cell r="B9" t="str">
            <v>AIoT</v>
          </cell>
          <cell r="E9">
            <v>5</v>
          </cell>
        </row>
        <row r="10">
          <cell r="B10" t="str">
            <v>Hệ nhúng</v>
          </cell>
          <cell r="E10">
            <v>6</v>
          </cell>
        </row>
        <row r="11">
          <cell r="B11" t="str">
            <v>Định vị sử dụng vệ tinh và ứng dụng hướng vị trí (LBS)</v>
          </cell>
          <cell r="E11">
            <v>7</v>
          </cell>
        </row>
        <row r="12">
          <cell r="B12" t="str">
            <v>Thương mại điện tử (eCommerce) và hậu cần (Logistic)</v>
          </cell>
          <cell r="E12">
            <v>8</v>
          </cell>
        </row>
        <row r="13">
          <cell r="B13" t="str">
            <v xml:space="preserve">Xử lý tín hiệu số </v>
          </cell>
          <cell r="E13">
            <v>9</v>
          </cell>
        </row>
        <row r="14">
          <cell r="B14" t="str">
            <v>Công nghệ và giải pháp chuyển đổi số giáo dục (EdTech)</v>
          </cell>
          <cell r="E14">
            <v>10</v>
          </cell>
        </row>
        <row r="15">
          <cell r="B15" t="str">
            <v>Công nghệ tài chính (FinTech)</v>
          </cell>
          <cell r="E15">
            <v>11</v>
          </cell>
        </row>
        <row r="16">
          <cell r="B16" t="str">
            <v>Giao thông thông minh (ITS)</v>
          </cell>
          <cell r="E16">
            <v>12</v>
          </cell>
        </row>
        <row r="17">
          <cell r="B17" t="str">
            <v>Học máy</v>
          </cell>
          <cell r="E17">
            <v>13</v>
          </cell>
        </row>
        <row r="18">
          <cell r="B18" t="str">
            <v>Mạng máy tính và truyền thông thế hệ mới</v>
          </cell>
          <cell r="E18">
            <v>14</v>
          </cell>
        </row>
        <row r="19">
          <cell r="B19" t="str">
            <v>Công nghệ y tế (MedTech)</v>
          </cell>
          <cell r="E19">
            <v>15</v>
          </cell>
        </row>
        <row r="20">
          <cell r="B20" t="str">
            <v>Phần mềm doanh nghiệp</v>
          </cell>
          <cell r="E20">
            <v>16</v>
          </cell>
        </row>
        <row r="21">
          <cell r="B21" t="str">
            <v>Phân tích dữ liệu lớn và ứng dụng</v>
          </cell>
          <cell r="E21">
            <v>17</v>
          </cell>
        </row>
        <row r="22">
          <cell r="B22" t="str">
            <v>Thị giác máy tính</v>
          </cell>
          <cell r="E22">
            <v>18</v>
          </cell>
        </row>
        <row r="23">
          <cell r="B23" t="str">
            <v>Tối ưu</v>
          </cell>
          <cell r="E23">
            <v>19</v>
          </cell>
        </row>
        <row r="24">
          <cell r="B24" t="str">
            <v>Trí tuệ nhân tạo ứng dụng</v>
          </cell>
          <cell r="E24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ong.NB215557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3C7C-C9D4-4371-A45D-01BBDA95A388}">
  <dimension ref="A1:K90"/>
  <sheetViews>
    <sheetView tabSelected="1" workbookViewId="0">
      <selection activeCell="C13" sqref="C13:K13"/>
    </sheetView>
  </sheetViews>
  <sheetFormatPr defaultRowHeight="14" x14ac:dyDescent="0.3"/>
  <cols>
    <col min="2" max="2" width="19.6640625" customWidth="1"/>
  </cols>
  <sheetData>
    <row r="1" spans="1:1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x14ac:dyDescent="0.3">
      <c r="A5" s="3"/>
      <c r="B5" s="4"/>
      <c r="C5" s="4"/>
      <c r="D5" s="4"/>
      <c r="E5" s="1" t="s">
        <v>3</v>
      </c>
      <c r="F5" s="5">
        <v>20251</v>
      </c>
      <c r="G5" s="4"/>
      <c r="H5" s="3"/>
      <c r="I5" s="3"/>
      <c r="J5" s="3"/>
      <c r="K5" s="2"/>
    </row>
    <row r="6" spans="1:1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 t="s">
        <v>5</v>
      </c>
      <c r="B8" s="3"/>
      <c r="C8" s="26" t="s">
        <v>6</v>
      </c>
      <c r="D8" s="26"/>
      <c r="E8" s="26"/>
      <c r="F8" s="26"/>
      <c r="G8" s="26"/>
      <c r="H8" s="3" t="s">
        <v>7</v>
      </c>
      <c r="I8" s="26">
        <v>20215557</v>
      </c>
      <c r="J8" s="26"/>
      <c r="K8" s="26"/>
    </row>
    <row r="9" spans="1:11" x14ac:dyDescent="0.3">
      <c r="A9" s="3" t="s">
        <v>8</v>
      </c>
      <c r="B9" s="3"/>
      <c r="C9" s="26">
        <v>866491767</v>
      </c>
      <c r="D9" s="26"/>
      <c r="E9" s="26"/>
      <c r="F9" s="26"/>
      <c r="G9" s="26"/>
      <c r="H9" s="3" t="s">
        <v>9</v>
      </c>
      <c r="I9" s="26" t="s">
        <v>10</v>
      </c>
      <c r="J9" s="26"/>
      <c r="K9" s="26"/>
    </row>
    <row r="10" spans="1:11" x14ac:dyDescent="0.3">
      <c r="A10" s="3" t="s">
        <v>11</v>
      </c>
      <c r="B10" s="3"/>
      <c r="C10" s="25" t="s">
        <v>12</v>
      </c>
      <c r="D10" s="26"/>
      <c r="E10" s="26"/>
      <c r="F10" s="26"/>
      <c r="G10" s="26"/>
      <c r="H10" s="3" t="s">
        <v>13</v>
      </c>
      <c r="I10" s="26">
        <v>755590</v>
      </c>
      <c r="J10" s="26"/>
      <c r="K10" s="26"/>
    </row>
    <row r="11" spans="1:11" x14ac:dyDescent="0.3">
      <c r="A11" s="4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 t="s">
        <v>15</v>
      </c>
      <c r="B12" s="3"/>
      <c r="C12" s="26" t="s">
        <v>16</v>
      </c>
      <c r="D12" s="26"/>
      <c r="E12" s="26"/>
      <c r="F12" s="26"/>
      <c r="G12" s="26"/>
      <c r="H12" s="26"/>
      <c r="I12" s="26"/>
      <c r="J12" s="26"/>
      <c r="K12" s="26"/>
    </row>
    <row r="13" spans="1:11" x14ac:dyDescent="0.3">
      <c r="A13" s="3" t="s">
        <v>17</v>
      </c>
      <c r="B13" s="3"/>
      <c r="C13" s="26" t="s">
        <v>66</v>
      </c>
      <c r="D13" s="26"/>
      <c r="E13" s="26"/>
      <c r="F13" s="26"/>
      <c r="G13" s="26"/>
      <c r="H13" s="26"/>
      <c r="I13" s="26"/>
      <c r="J13" s="26"/>
      <c r="K13" s="26"/>
    </row>
    <row r="14" spans="1:11" x14ac:dyDescent="0.3">
      <c r="A14" s="3" t="s">
        <v>18</v>
      </c>
      <c r="B14" s="3"/>
      <c r="C14" s="3" t="s">
        <v>19</v>
      </c>
      <c r="D14" s="27">
        <v>45915</v>
      </c>
      <c r="E14" s="21"/>
      <c r="F14" s="21"/>
      <c r="G14" s="21"/>
      <c r="H14" s="6" t="s">
        <v>20</v>
      </c>
      <c r="I14" s="27">
        <v>45661</v>
      </c>
      <c r="J14" s="21"/>
      <c r="K14" s="21"/>
    </row>
    <row r="15" spans="1:11" x14ac:dyDescent="0.3">
      <c r="A15" s="4" t="s">
        <v>21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5.5" customHeight="1" x14ac:dyDescent="0.3">
      <c r="A16" s="21" t="s">
        <v>22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3">
      <c r="A17" s="7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8" t="s">
        <v>24</v>
      </c>
      <c r="B18" s="2" t="s">
        <v>25</v>
      </c>
      <c r="C18" s="22" t="s">
        <v>26</v>
      </c>
      <c r="D18" s="22"/>
      <c r="E18" s="22"/>
      <c r="F18" s="22"/>
      <c r="G18" s="22"/>
      <c r="H18" s="22"/>
      <c r="I18" s="22"/>
      <c r="J18" s="22"/>
      <c r="K18" s="22"/>
    </row>
    <row r="19" spans="1:11" x14ac:dyDescent="0.3">
      <c r="A19" s="8" t="s">
        <v>24</v>
      </c>
      <c r="B19" s="2" t="s">
        <v>27</v>
      </c>
      <c r="C19" s="22" t="s">
        <v>28</v>
      </c>
      <c r="D19" s="22"/>
      <c r="E19" s="22"/>
      <c r="F19" s="22"/>
      <c r="G19" s="22"/>
      <c r="H19" s="22"/>
      <c r="I19" s="22"/>
      <c r="J19" s="22"/>
      <c r="K19" s="22"/>
    </row>
    <row r="20" spans="1:11" x14ac:dyDescent="0.3">
      <c r="A20" s="8" t="s">
        <v>24</v>
      </c>
      <c r="B20" s="2" t="s">
        <v>29</v>
      </c>
      <c r="C20" s="22" t="s">
        <v>30</v>
      </c>
      <c r="D20" s="22"/>
      <c r="E20" s="22"/>
      <c r="F20" s="22"/>
      <c r="G20" s="22"/>
      <c r="H20" s="22"/>
      <c r="I20" s="22"/>
      <c r="J20" s="22"/>
      <c r="K20" s="22"/>
    </row>
    <row r="21" spans="1:11" x14ac:dyDescent="0.3">
      <c r="A21" s="8" t="s">
        <v>24</v>
      </c>
      <c r="B21" s="2" t="s">
        <v>31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ht="20.5" customHeight="1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x14ac:dyDescent="0.3">
      <c r="A23" s="9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41" customHeight="1" x14ac:dyDescent="0.3">
      <c r="A25" s="18" t="s">
        <v>34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60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28" customHeight="1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x14ac:dyDescent="0.3">
      <c r="A28" s="2" t="s">
        <v>35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37" customHeight="1" x14ac:dyDescent="0.3">
      <c r="A29" s="18" t="s">
        <v>36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26.5" customHeight="1" x14ac:dyDescent="0.3">
      <c r="A30" s="19" t="s">
        <v>24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24" customHeight="1" x14ac:dyDescent="0.3">
      <c r="A31" s="19" t="s">
        <v>24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3">
      <c r="A32" s="2" t="s">
        <v>37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74.5" customHeight="1" x14ac:dyDescent="0.3">
      <c r="A33" s="18" t="s">
        <v>38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">
      <c r="A34" s="2" t="s">
        <v>39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" customHeight="1" x14ac:dyDescent="0.3">
      <c r="A35" s="18" t="s">
        <v>40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28" customHeight="1" x14ac:dyDescent="0.3">
      <c r="A36" s="19" t="s">
        <v>24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6.5" customHeight="1" x14ac:dyDescent="0.3">
      <c r="A37" s="19" t="s">
        <v>24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30" customHeight="1" x14ac:dyDescent="0.3">
      <c r="A39" s="18" t="s">
        <v>42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24.5" customHeight="1" x14ac:dyDescent="0.3">
      <c r="A40" s="19" t="s">
        <v>24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ht="31" customHeight="1" x14ac:dyDescent="0.3">
      <c r="A41" s="19" t="s">
        <v>24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3">
      <c r="A42" s="7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customHeight="1" x14ac:dyDescent="0.3">
      <c r="A43" s="20" t="s">
        <v>44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7" t="s">
        <v>45</v>
      </c>
      <c r="B44" s="2"/>
      <c r="C44" s="2"/>
      <c r="D44" s="2"/>
      <c r="E44" s="2"/>
      <c r="F44" s="2"/>
      <c r="G44" s="2" t="s">
        <v>46</v>
      </c>
      <c r="H44" s="10">
        <v>1</v>
      </c>
      <c r="I44" s="2" t="s">
        <v>47</v>
      </c>
      <c r="J44" s="10">
        <v>3</v>
      </c>
      <c r="K44" s="2"/>
    </row>
    <row r="45" spans="1:11" x14ac:dyDescent="0.3">
      <c r="A45" s="2" t="s">
        <v>48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" customHeight="1" x14ac:dyDescent="0.3">
      <c r="A46" s="18" t="s">
        <v>49</v>
      </c>
      <c r="B46" s="19" t="s">
        <v>50</v>
      </c>
      <c r="C46" s="19"/>
      <c r="D46" s="19"/>
      <c r="E46" s="19"/>
      <c r="F46" s="19"/>
      <c r="G46" s="19"/>
      <c r="H46" s="19"/>
      <c r="I46" s="19"/>
      <c r="J46" s="19"/>
      <c r="K46" s="19"/>
    </row>
    <row r="47" spans="1:11" x14ac:dyDescent="0.3">
      <c r="A47" s="19" t="s">
        <v>24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15" customHeight="1" x14ac:dyDescent="0.3">
      <c r="A48" s="19" t="s">
        <v>24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x14ac:dyDescent="0.3">
      <c r="A49" s="7" t="s">
        <v>51</v>
      </c>
      <c r="B49" s="2"/>
      <c r="C49" s="2"/>
      <c r="D49" s="2"/>
      <c r="E49" s="2"/>
      <c r="F49" s="2"/>
      <c r="G49" s="2" t="s">
        <v>46</v>
      </c>
      <c r="H49" s="10">
        <v>2</v>
      </c>
      <c r="I49" s="2" t="s">
        <v>47</v>
      </c>
      <c r="J49" s="10">
        <v>6</v>
      </c>
      <c r="K49" s="2"/>
    </row>
    <row r="50" spans="1:11" x14ac:dyDescent="0.3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" customHeight="1" x14ac:dyDescent="0.3">
      <c r="A51" s="18" t="s">
        <v>52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22.5" customHeight="1" x14ac:dyDescent="0.3">
      <c r="A52" s="19" t="s">
        <v>24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20.5" customHeight="1" x14ac:dyDescent="0.3">
      <c r="A53" s="19" t="s">
        <v>24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x14ac:dyDescent="0.3">
      <c r="A54" s="7" t="s">
        <v>53</v>
      </c>
      <c r="B54" s="2"/>
      <c r="C54" s="2"/>
      <c r="D54" s="2"/>
      <c r="E54" s="2"/>
      <c r="F54" s="2"/>
      <c r="G54" s="2" t="s">
        <v>46</v>
      </c>
      <c r="H54" s="10">
        <v>4</v>
      </c>
      <c r="I54" s="2" t="s">
        <v>47</v>
      </c>
      <c r="J54" s="10">
        <v>8</v>
      </c>
      <c r="K54" s="2"/>
    </row>
    <row r="55" spans="1:11" x14ac:dyDescent="0.3">
      <c r="A55" s="2" t="s">
        <v>48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" customHeight="1" x14ac:dyDescent="0.3">
      <c r="A56" s="18" t="s">
        <v>54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ht="26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6.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x14ac:dyDescent="0.3">
      <c r="A59" s="7" t="s">
        <v>55</v>
      </c>
      <c r="B59" s="2"/>
      <c r="C59" s="2"/>
      <c r="D59" s="2"/>
      <c r="E59" s="2"/>
      <c r="F59" s="2"/>
      <c r="G59" s="2" t="s">
        <v>46</v>
      </c>
      <c r="H59" s="10">
        <v>8</v>
      </c>
      <c r="I59" s="2" t="s">
        <v>47</v>
      </c>
      <c r="J59" s="10">
        <v>14</v>
      </c>
      <c r="K59" s="2"/>
    </row>
    <row r="60" spans="1:11" x14ac:dyDescent="0.3">
      <c r="A60" s="2" t="s">
        <v>48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" customHeight="1" x14ac:dyDescent="0.3">
      <c r="A61" s="18" t="s">
        <v>56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x14ac:dyDescent="0.3">
      <c r="A62" s="19" t="s">
        <v>24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x14ac:dyDescent="0.3">
      <c r="A63" s="19" t="s">
        <v>24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x14ac:dyDescent="0.3">
      <c r="A64" s="7" t="s">
        <v>57</v>
      </c>
      <c r="B64" s="2"/>
      <c r="C64" s="2"/>
      <c r="D64" s="2"/>
      <c r="E64" s="2"/>
      <c r="F64" s="2"/>
      <c r="G64" s="2" t="s">
        <v>46</v>
      </c>
      <c r="H64" s="10">
        <v>14</v>
      </c>
      <c r="I64" s="2" t="s">
        <v>47</v>
      </c>
      <c r="J64" s="10">
        <v>17</v>
      </c>
      <c r="K64" s="2"/>
    </row>
    <row r="65" spans="1:11" x14ac:dyDescent="0.3">
      <c r="A65" s="2" t="s">
        <v>48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" customHeight="1" x14ac:dyDescent="0.3">
      <c r="A66" s="18" t="s">
        <v>58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3">
      <c r="A69" s="7" t="s">
        <v>59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5" x14ac:dyDescent="0.35">
      <c r="A70" s="11" t="s">
        <v>60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5" x14ac:dyDescent="0.3">
      <c r="A71" s="2"/>
      <c r="B71" s="2"/>
      <c r="C71" s="2"/>
      <c r="D71" s="2"/>
      <c r="E71" s="2"/>
      <c r="F71" s="2"/>
      <c r="G71" s="2"/>
      <c r="H71" s="12" t="s">
        <v>61</v>
      </c>
      <c r="I71" s="12"/>
      <c r="J71" s="12"/>
      <c r="K71" s="12"/>
    </row>
    <row r="72" spans="1:11" x14ac:dyDescent="0.3">
      <c r="A72" s="2"/>
      <c r="B72" s="2"/>
      <c r="C72" s="2"/>
      <c r="D72" s="2"/>
      <c r="E72" s="2"/>
      <c r="F72" s="2"/>
      <c r="G72" s="2"/>
      <c r="H72" s="13" t="s">
        <v>62</v>
      </c>
      <c r="I72" s="13"/>
      <c r="J72" s="13"/>
      <c r="K72" s="13"/>
    </row>
    <row r="73" spans="1:11" ht="14.5" x14ac:dyDescent="0.35">
      <c r="A73" s="2"/>
      <c r="B73" s="2"/>
      <c r="C73" s="2"/>
      <c r="D73" s="2"/>
      <c r="E73" s="2"/>
      <c r="F73" s="2"/>
      <c r="G73" s="2"/>
      <c r="H73" s="14" t="s">
        <v>63</v>
      </c>
      <c r="I73" s="15"/>
      <c r="J73" s="15"/>
      <c r="K73" s="15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2"/>
      <c r="E79" s="2"/>
      <c r="F79" s="2"/>
      <c r="G79" s="2"/>
      <c r="H79" s="16" t="str">
        <f>C8</f>
        <v>Nguyễn Bình Dương</v>
      </c>
      <c r="I79" s="16"/>
      <c r="J79" s="16"/>
      <c r="K79" s="16"/>
    </row>
    <row r="80" spans="1:1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7" t="s">
        <v>64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5" x14ac:dyDescent="0.35">
      <c r="A82" s="2"/>
      <c r="B82" s="2"/>
      <c r="C82" s="2"/>
      <c r="D82" s="2"/>
      <c r="E82" s="2"/>
      <c r="F82" s="2"/>
      <c r="G82" s="2"/>
      <c r="H82" s="17" t="s">
        <v>61</v>
      </c>
      <c r="I82" s="17"/>
      <c r="J82" s="17"/>
      <c r="K82" s="17"/>
    </row>
    <row r="83" spans="1:11" x14ac:dyDescent="0.3">
      <c r="A83" s="2"/>
      <c r="B83" s="2"/>
      <c r="C83" s="2"/>
      <c r="D83" s="2"/>
      <c r="E83" s="2"/>
      <c r="F83" s="2"/>
      <c r="G83" s="2"/>
      <c r="H83" s="13" t="s">
        <v>65</v>
      </c>
      <c r="I83" s="13"/>
      <c r="J83" s="13"/>
      <c r="K83" s="13"/>
    </row>
    <row r="84" spans="1:11" ht="14.5" x14ac:dyDescent="0.35">
      <c r="A84" s="2"/>
      <c r="B84" s="2"/>
      <c r="C84" s="2"/>
      <c r="D84" s="2"/>
      <c r="E84" s="2"/>
      <c r="F84" s="2"/>
      <c r="G84" s="2"/>
      <c r="H84" s="14" t="s">
        <v>63</v>
      </c>
      <c r="I84" s="13"/>
      <c r="J84" s="13"/>
      <c r="K84" s="13"/>
    </row>
    <row r="85" spans="1:1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2"/>
      <c r="E90" s="2"/>
      <c r="F90" s="2"/>
      <c r="G90" s="2"/>
      <c r="H90" s="16" t="str">
        <f>C12</f>
        <v>Hoàng Văn Hiệp</v>
      </c>
      <c r="I90" s="16"/>
      <c r="J90" s="16"/>
      <c r="K90" s="16"/>
    </row>
  </sheetData>
  <mergeCells count="29">
    <mergeCell ref="C9:G9"/>
    <mergeCell ref="I9:K9"/>
    <mergeCell ref="A1:K1"/>
    <mergeCell ref="A2:K2"/>
    <mergeCell ref="A4:K4"/>
    <mergeCell ref="C8:G8"/>
    <mergeCell ref="I8:K8"/>
    <mergeCell ref="A25:K27"/>
    <mergeCell ref="C10:G10"/>
    <mergeCell ref="I10:K10"/>
    <mergeCell ref="C12:K12"/>
    <mergeCell ref="C13:K13"/>
    <mergeCell ref="D14:G14"/>
    <mergeCell ref="I14:K14"/>
    <mergeCell ref="A16:K16"/>
    <mergeCell ref="C18:K18"/>
    <mergeCell ref="C19:K19"/>
    <mergeCell ref="C20:K20"/>
    <mergeCell ref="A22:K22"/>
    <mergeCell ref="A51:K53"/>
    <mergeCell ref="A56:K58"/>
    <mergeCell ref="A61:K63"/>
    <mergeCell ref="A66:K68"/>
    <mergeCell ref="A29:K31"/>
    <mergeCell ref="A33:K33"/>
    <mergeCell ref="A35:K37"/>
    <mergeCell ref="A39:K41"/>
    <mergeCell ref="A43:K43"/>
    <mergeCell ref="A46:K48"/>
  </mergeCells>
  <dataValidations count="2">
    <dataValidation type="list" allowBlank="1" showInputMessage="1" showErrorMessage="1" sqref="H44 J44 H49 J49 H54 J54 H59 J59 H64 J64" xr:uid="{AFE09DD9-E33B-4A33-A6CC-6F5A5B4DF9F8}">
      <formula1>Tuần</formula1>
    </dataValidation>
    <dataValidation type="list" allowBlank="1" showInputMessage="1" showErrorMessage="1" sqref="C18:K20" xr:uid="{E9626E39-5495-4919-9170-ADD7F04EB689}">
      <formula1>Danh_sách_phân_ban</formula1>
    </dataValidation>
  </dataValidations>
  <hyperlinks>
    <hyperlink ref="C10" r:id="rId1" xr:uid="{82332FC9-3FD9-48BD-B4B5-48F199AA45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Binh Duong 20215557</dc:creator>
  <cp:lastModifiedBy>Nguyen Binh Duong 20215557</cp:lastModifiedBy>
  <dcterms:created xsi:type="dcterms:W3CDTF">2025-11-06T04:41:29Z</dcterms:created>
  <dcterms:modified xsi:type="dcterms:W3CDTF">2025-11-06T04:57:59Z</dcterms:modified>
</cp:coreProperties>
</file>